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Unity\Project\AnimalCafe\.worktrees\phase-5-ui-architecture\outputs\phase5-manual-review\"/>
    </mc:Choice>
  </mc:AlternateContent>
  <xr:revisionPtr revIDLastSave="0" documentId="13_ncr:1_{D39C034D-C04C-4292-96C8-C6B20448A74B}" xr6:coauthVersionLast="47" xr6:coauthVersionMax="47" xr10:uidLastSave="{00000000-0000-0000-0000-000000000000}"/>
  <bookViews>
    <workbookView xWindow="-28920" yWindow="2490" windowWidth="29040" windowHeight="15720" xr2:uid="{00000000-000D-0000-FFFF-FFFF00000000}"/>
  </bookViews>
  <sheets>
    <sheet name="Summary" sheetId="6" r:id="rId1"/>
    <sheet name="Start Here" sheetId="2" r:id="rId2"/>
    <sheet name="Manual Tests" sheetId="1" r:id="rId3"/>
  </sheets>
  <definedNames>
    <definedName name="_xlnm._FilterDatabase" localSheetId="2" hidden="1">'Manual Tests'!$A$3:$K$37</definedName>
    <definedName name="_xlnm.Print_Area" localSheetId="1">'Start Here'!$A$1:$F$12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6" l="1"/>
  <c r="E4" i="6"/>
  <c r="B7" i="6"/>
  <c r="B6" i="6"/>
  <c r="B5" i="6"/>
  <c r="B4" i="6"/>
</calcChain>
</file>

<file path=xl/sharedStrings.xml><?xml version="1.0" encoding="utf-8"?>
<sst xmlns="http://schemas.openxmlformats.org/spreadsheetml/2006/main" count="319" uniqueCount="235">
  <si>
    <t>ID</t>
  </si>
  <si>
    <t>Status</t>
  </si>
  <si>
    <t>Review Date</t>
  </si>
  <si>
    <t>Count</t>
  </si>
  <si>
    <t>Passed</t>
  </si>
  <si>
    <t>6000.5.5f1</t>
  </si>
  <si>
    <t>Failed</t>
  </si>
  <si>
    <t>Blocked</t>
  </si>
  <si>
    <t>Important</t>
  </si>
  <si>
    <t>Gate</t>
  </si>
  <si>
    <t>Value</t>
  </si>
  <si>
    <t>AnimalCafe Phase 5 — Manual Review Checklist</t>
  </si>
  <si>
    <t>按 ID 顺序测试。只有亲自完成操作并核对预期结果后，才把 Status 改为 Passed。Failed 请保留截图/录屏路径和说明。</t>
  </si>
  <si>
    <t>Category</t>
  </si>
  <si>
    <t>Preconditions / 前置条件</t>
  </si>
  <si>
    <t>Actions / 操作</t>
  </si>
  <si>
    <t>Expected Result / 预期结果</t>
  </si>
  <si>
    <t>Risk Checked</t>
  </si>
  <si>
    <t>Required Evidence</t>
  </si>
  <si>
    <t>Evidence File / Link</t>
  </si>
  <si>
    <t>Notes / Blocker</t>
  </si>
  <si>
    <t>MT-001</t>
  </si>
  <si>
    <t>A. Visual Theme &amp; Buttons</t>
  </si>
  <si>
    <t>打开 Phase5 validation scene，portrait</t>
  </si>
  <si>
    <t>截取完整画面</t>
  </si>
  <si>
    <t>A1 cream/warm wood/sage 统一，画面没有 debug 杂物</t>
  </si>
  <si>
    <t>风格不一致</t>
  </si>
  <si>
    <t>Full-screen screenshot</t>
  </si>
  <si>
    <t>Not Run</t>
  </si>
  <si>
    <t>MT-002</t>
  </si>
  <si>
    <t>9 个 Button variants 可见</t>
  </si>
  <si>
    <t>逐个查看 Default/Pressed/Disabled</t>
  </si>
  <si>
    <t>角色和状态一眼可区分；Disabled 仍可读</t>
  </si>
  <si>
    <t>状态只靠细微颜色</t>
  </si>
  <si>
    <t>Screenshot + short video</t>
  </si>
  <si>
    <t>MT-003</t>
  </si>
  <si>
    <t>Touch simulation</t>
  </si>
  <si>
    <t>依次点击所有 buttons 边缘和中心</t>
  </si>
  <si>
    <t>`48×48` target 容易点中，无误触邻近 control</t>
  </si>
  <si>
    <t>点击区域太小</t>
  </si>
  <si>
    <t>Short video</t>
  </si>
  <si>
    <t>MT-004</t>
  </si>
  <si>
    <t>Primary/Secondary/Destructive 同屏</t>
  </si>
  <si>
    <t>不看说明判断用途</t>
  </si>
  <si>
    <t>Primary 最突出，Destructive 明确但不过度抢眼</t>
  </si>
  <si>
    <t>行为层级混乱</t>
  </si>
  <si>
    <t>Screenshot + owner note</t>
  </si>
  <si>
    <t>MT-005</t>
  </si>
  <si>
    <t>Solid/Light/Strong panels</t>
  </si>
  <si>
    <t>依次切换</t>
  </si>
  <si>
    <t>三种材质差异清楚，文字在复杂背景上始终可读</t>
  </si>
  <si>
    <t>Frost 降低可读性</t>
  </si>
  <si>
    <t>3 screenshots</t>
  </si>
  <si>
    <t>MT-006</t>
  </si>
  <si>
    <t>Strong Frost panel</t>
  </si>
  <si>
    <t>在动态/复杂场景背景打开</t>
  </si>
  <si>
    <t>能看出背景模糊且无明显闪烁；关闭后正常</t>
  </si>
  <si>
    <t>真模糊 artifacts</t>
  </si>
  <si>
    <t>MT-007</t>
  </si>
  <si>
    <t>Strong Frost active</t>
  </si>
  <si>
    <t>请求第二个 Strong panel</t>
  </si>
  <si>
    <t>同时仍只有一个真实 blur，fallback 不突兀</t>
  </si>
  <si>
    <t>双 blur 过重</t>
  </si>
  <si>
    <t>MT-008</t>
  </si>
  <si>
    <t>强制 low-quality fallback</t>
  </si>
  <si>
    <t>打开相同 panel</t>
  </si>
  <si>
    <t>内容、按钮位置和功能不变，只降低效果</t>
  </si>
  <si>
    <t>fallback 变成另一页面</t>
  </si>
  <si>
    <t>Before/after screenshots</t>
  </si>
  <si>
    <t>MT-009</t>
  </si>
  <si>
    <t>B. Navigation &amp; Containers</t>
  </si>
  <si>
    <t>普通 Bottom Sheet</t>
  </si>
  <si>
    <t>tap entry、outside、再用 Back</t>
  </si>
  <si>
    <t>动画自然；outside/Back 都能关闭</t>
  </si>
  <si>
    <t>Sheet 退出不直观</t>
  </si>
  <si>
    <t>MT-010</t>
  </si>
  <si>
    <t>Critical Modal</t>
  </si>
  <si>
    <t>点击 outside、下层按钮、Cancel</t>
  </si>
  <si>
    <t>outside 和下层无反应；Cancel 明确退出</t>
  </si>
  <si>
    <t>critical Modal 漏挡</t>
  </si>
  <si>
    <t>MT-011</t>
  </si>
  <si>
    <t>Panel + two Modals</t>
  </si>
  <si>
    <t>连续按 Back</t>
  </si>
  <si>
    <t>每次只关最上层，顺序容易理解，HUD 保留</t>
  </si>
  <si>
    <t>Back 关错层</t>
  </si>
  <si>
    <t>MT-012</t>
  </si>
  <si>
    <t>C. Input Boundary &amp; Pause</t>
  </si>
  <si>
    <t>UI 覆盖可选咖啡机 fixture</t>
  </si>
  <si>
    <t>点击 UI、拖出 UI、outside-close</t>
  </si>
  <si>
    <t>三种 UI gestures 都不误选咖啡机</t>
  </si>
  <si>
    <t>click-through</t>
  </si>
  <si>
    <t>MT-013</t>
  </si>
  <si>
    <t>UI 全部关闭</t>
  </si>
  <si>
    <t>点击咖啡机 fixture</t>
  </si>
  <si>
    <t>Scene selection 正常立即响应</t>
  </si>
  <si>
    <t>boundary 过度阻挡</t>
  </si>
  <si>
    <t>MT-014</t>
  </si>
  <si>
    <t>PauseGame panel + moving fixture</t>
  </si>
  <si>
    <t>打开、操作 UI、关闭</t>
  </si>
  <si>
    <t>世界停止但 UI 流畅；关闭恢复原速度</t>
  </si>
  <si>
    <t>Pause 冻结 UI/恢复错</t>
  </si>
  <si>
    <t>MT-015</t>
  </si>
  <si>
    <t>ContinueGame Bottom Sheet + moving fixture</t>
  </si>
  <si>
    <t>打开并观察</t>
  </si>
  <si>
    <t>世界继续运行，Sheet 仍容易阅读操作</t>
  </si>
  <si>
    <t>普通 UI 意外暂停</t>
  </si>
  <si>
    <t>MT-016</t>
  </si>
  <si>
    <t>D. Feedback</t>
  </si>
  <si>
    <t>触发 3 条 Toast，含重复项</t>
  </si>
  <si>
    <t>观察完整队列</t>
  </si>
  <si>
    <t>不刷屏、不挡操作、停留时间足够阅读</t>
  </si>
  <si>
    <t>提示过快/遮挡</t>
  </si>
  <si>
    <t>MT-017</t>
  </si>
  <si>
    <t>Toast 显示时</t>
  </si>
  <si>
    <t>点击 Toast 后方可见 control</t>
  </si>
  <si>
    <t>control 正常响应</t>
  </si>
  <si>
    <t>Toast 阻挡 input</t>
  </si>
  <si>
    <t>MT-018</t>
  </si>
  <si>
    <t>Tooltip fixtures</t>
  </si>
  <si>
    <t>tap info 与 long press</t>
  </si>
  <si>
    <t>两种 Touch-safe 入口可发现、可关闭、文字可读</t>
  </si>
  <si>
    <t>无 Hover 后信息不可达</t>
  </si>
  <si>
    <t>MT-019</t>
  </si>
  <si>
    <t>Validation fixture</t>
  </si>
  <si>
    <t>提交空值/无效值再修正</t>
  </si>
  <si>
    <t>错误原因具体、位置明确、修正后消失</t>
  </si>
  <si>
    <t>只显示红色/原因模糊</t>
  </si>
  <si>
    <t>Screenshots</t>
  </si>
  <si>
    <t>MT-020</t>
  </si>
  <si>
    <t>E. Responsive &amp; Localization</t>
  </si>
  <si>
    <t>portrait 1080×1920</t>
  </si>
  <si>
    <t>打开每种 container</t>
  </si>
  <si>
    <t>无 overlap/cutoff；主操作单手容易触达</t>
  </si>
  <si>
    <t>portrait baseline 失败</t>
  </si>
  <si>
    <t>Screenshot set</t>
  </si>
  <si>
    <t>MT-021</t>
  </si>
  <si>
    <t>smaller portrait</t>
  </si>
  <si>
    <t>重复核心流程</t>
  </si>
  <si>
    <t>无关键 control 被挤出；必要内容可滚动</t>
  </si>
  <si>
    <t>小屏死路</t>
  </si>
  <si>
    <t>Screenshot + video</t>
  </si>
  <si>
    <t>MT-022</t>
  </si>
  <si>
    <t>tall portrait</t>
  </si>
  <si>
    <t>layout 不被不自然拉长，底部操作仍在 Safe Area</t>
  </si>
  <si>
    <t>tall aspect 失衡</t>
  </si>
  <si>
    <t>Screenshot</t>
  </si>
  <si>
    <t>MT-023</t>
  </si>
  <si>
    <t>landscape</t>
  </si>
  <si>
    <t>打开/关闭 Panel、Modal、Sheet</t>
  </si>
  <si>
    <t>功能完整，无关键裁切；无需达到独立精修画面</t>
  </si>
  <si>
    <t>横屏不可用</t>
  </si>
  <si>
    <t>MT-024</t>
  </si>
  <si>
    <t>模拟 notch/home inset</t>
  </si>
  <si>
    <t>HUD、Back、Confirm/Cancel 不被遮挡</t>
  </si>
  <si>
    <t>Safe Area 失败</t>
  </si>
  <si>
    <t>MT-025</t>
  </si>
  <si>
    <t>30–50% long labels</t>
  </si>
  <si>
    <t>查看全部 components</t>
  </si>
  <si>
    <t>关键含义完整，无文字互压，无极小字号</t>
  </si>
  <si>
    <t>localization overflow</t>
  </si>
  <si>
    <t>MT-026</t>
  </si>
  <si>
    <t>中文 + Latin mixed fixture</t>
  </si>
  <si>
    <t>查看 Heading/Body/Label</t>
  </si>
  <si>
    <t>字重、baseline、fallback 一致，无缺字方框</t>
  </si>
  <si>
    <t>font coverage 不足</t>
  </si>
  <si>
    <t>MT-027</t>
  </si>
  <si>
    <t>F. Motion &amp; Interruption</t>
  </si>
  <si>
    <t>正常 motion</t>
  </si>
  <si>
    <t>连续操作 Button/Modal/Sheet/Toast</t>
  </si>
  <si>
    <t>快而清楚，不拖沓、不突然；close 稍快合理</t>
  </si>
  <si>
    <t>motion 手感差</t>
  </si>
  <si>
    <t>Short video + owner note</t>
  </si>
  <si>
    <t>MT-028</t>
  </si>
  <si>
    <t>Reduced Motion fixture</t>
  </si>
  <si>
    <t>重复 MT-027</t>
  </si>
  <si>
    <t>motion 明显减少但状态变化仍清楚</t>
  </si>
  <si>
    <t>reduced motion 只是摆设</t>
  </si>
  <si>
    <t>MT-029</t>
  </si>
  <si>
    <t>animation 进行中</t>
  </si>
  <si>
    <t>快速 Back、disable/reopen</t>
  </si>
  <si>
    <t>无卡死、闪烁、透明 blocker 或永久暂停</t>
  </si>
  <si>
    <t>中断状态损坏</t>
  </si>
  <si>
    <t>Short video + Console screenshot</t>
  </si>
  <si>
    <t>MT-030</t>
  </si>
  <si>
    <t>G. MainCafe, Performance &amp; Lifecycle</t>
  </si>
  <si>
    <t>MainCafe</t>
  </si>
  <si>
    <t>操作 Pause/Normal/Fast</t>
  </si>
  <si>
    <t>外观接入新 foundation，原功能完全一致</t>
  </si>
  <si>
    <t>legacy UI migration regression</t>
  </si>
  <si>
    <t>MT-031</t>
  </si>
  <si>
    <t>UI 开关后选择/取消选择 Scene objects</t>
  </si>
  <si>
    <t>选择行为正常，无一次点击触发两件事</t>
  </si>
  <si>
    <t>MainCafe input regression</t>
  </si>
  <si>
    <t>MT-032</t>
  </si>
  <si>
    <t>Profiler + validation scene</t>
  </si>
  <si>
    <t>比较 Solid、Light、Strong、fallback</t>
  </si>
  <si>
    <t>记录 CPU/GPU/frame time、batches、overdraw observation；无第二 Strong</t>
  </si>
  <si>
    <t>性能成本未知</t>
  </si>
  <si>
    <t>Profiler captures + table</t>
  </si>
  <si>
    <t>MT-033</t>
  </si>
  <si>
    <t>Console 清空</t>
  </si>
  <si>
    <t>完成 MT-001–032 核心流程</t>
  </si>
  <si>
    <t>无 unexpected Error/Exception；Warning 有解释</t>
  </si>
  <si>
    <t>隐藏 runtime 错误</t>
  </si>
  <si>
    <t>Console screenshot/log</t>
  </si>
  <si>
    <t>MT-034</t>
  </si>
  <si>
    <t>关闭/重载 validation scene 两次</t>
  </si>
  <si>
    <t>再操作 UI 与 Scene</t>
  </si>
  <si>
    <t>无永久 pause、stale blocker、重复 EventSystem/Root</t>
  </si>
  <si>
    <t>lifecycle 泄漏</t>
  </si>
  <si>
    <t>Short video + Hierarchy screenshots</t>
  </si>
  <si>
    <t>AnimalCafe Phase 5 Manual Review — Start Here</t>
  </si>
  <si>
    <t>1. Open project</t>
  </si>
  <si>
    <t>E:\Unity\Project\AnimalCafe\.worktrees\phase-5-ui-architecture</t>
  </si>
  <si>
    <t>2. Unity version</t>
  </si>
  <si>
    <t>3. Open Scene</t>
  </si>
  <si>
    <t>Assets/Scenes/Validation/Phase5UiFoundation.unity</t>
  </si>
  <si>
    <t>4. Hierarchy</t>
  </si>
  <si>
    <t>Expand Phase5UiFoundationRoot &gt; UI Root</t>
  </si>
  <si>
    <t>5. Game View</t>
  </si>
  <si>
    <t>Portrait 1080 × 1920; Mouse can be used as one-finger Touch</t>
  </si>
  <si>
    <t>6. Press Play</t>
  </si>
  <si>
    <t>Start on Buttons page; then follow Manual Tests MT-001 to MT-034</t>
  </si>
  <si>
    <t>7. Evidence</t>
  </si>
  <si>
    <t>Save screenshots/videos and paste the path into Evidence File / Link</t>
  </si>
  <si>
    <t>8. Failed rule</t>
  </si>
  <si>
    <t>Do not work around it. Record Failed, screenshot, exact action and visible result.</t>
  </si>
  <si>
    <t>Validation Scene is a test fixture, not final game UI. Judge clarity, states, input and behavior listed in each test.</t>
  </si>
  <si>
    <t>Current automated gate</t>
  </si>
  <si>
    <t>Phase 5 EditMode 98/98; PlayMode 55/55. Manual visual acceptance remains yours.</t>
  </si>
  <si>
    <t>AnimalCafe Phase 5 — Manual Review Summary</t>
  </si>
  <si>
    <t>Total tests</t>
  </si>
  <si>
    <t>Ready to approve?</t>
  </si>
  <si>
    <t>Rule</t>
  </si>
  <si>
    <t>All 34 Passed; no Failed, Blocked, or Not 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</si>
</sst>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name val="Carlito"/>
    </font>
    <font>
      <b/>
      <sz val="16"/>
      <color rgb="FFFFFFFF"/>
      <name val="Carlito"/>
    </font>
    <font>
      <i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5B6F55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0" fontId="2" fillId="2" borderId="0" xfId="0" applyFont="1" applyFill="1"/>
    <xf numFmtId="0" fontId="0" fillId="0" borderId="0" xfId="0" applyAlignment="1">
      <alignment wrapText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142875</xdr:colOff>
      <xdr:row>14</xdr:row>
      <xdr:rowOff>653308</xdr:rowOff>
    </xdr:from>
    <xdr:to>
      <xdr:col>7</xdr:col>
      <xdr:colOff>363213</xdr:colOff>
      <xdr:row>15</xdr:row>
      <xdr:rowOff>329794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6</xdr:col>
      <xdr:colOff>219076</xdr:colOff>
      <xdr:row>36</xdr:row>
      <xdr:rowOff>132555</xdr:rowOff>
    </xdr:from>
    <xdr:to>
      <xdr:col>7</xdr:col>
      <xdr:colOff>276225</xdr:colOff>
      <xdr:row>38</xdr:row>
      <xdr:rowOff>267456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61</xdr:row>
      <xdr:rowOff>104142</xdr:rowOff>
    </xdr:from>
    <xdr:to>
      <xdr:col>7</xdr:col>
      <xdr:colOff>1000887</xdr:colOff>
      <xdr:row>61</xdr:row>
      <xdr:rowOff>1972175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1809-33C0-44EC-BFD8-D0143261558F}">
  <dimension ref="A1:E7"/>
  <sheetViews>
    <sheetView showGridLines="0" tabSelected="1" workbookViewId="0">
      <selection sqref="A1:E1"/>
    </sheetView>
  </sheetViews>
  <sheetFormatPr defaultRowHeight="14.25"/>
  <cols>
    <col min="1" max="1" width="18.625" customWidth="1"/>
    <col min="2" max="2" width="12.625" customWidth="1"/>
    <col min="4" max="4" width="22.625" customWidth="1"/>
    <col min="5" max="5" width="42.625" customWidth="1"/>
  </cols>
  <sheetData>
    <row r="1" spans="1:5" ht="20.25">
      <c r="A1" s="9" t="s">
        <v>230</v>
      </c>
      <c r="B1" s="9"/>
      <c r="C1" s="9"/>
      <c r="D1" s="9"/>
      <c r="E1" s="9"/>
    </row>
    <row r="3" spans="1:5" ht="15">
      <c r="A3" s="8" t="s">
        <v>1</v>
      </c>
      <c r="B3" s="8" t="s">
        <v>3</v>
      </c>
      <c r="C3" s="6"/>
      <c r="D3" s="8" t="s">
        <v>9</v>
      </c>
      <c r="E3" s="8" t="s">
        <v>10</v>
      </c>
    </row>
    <row r="4" spans="1:5">
      <c r="A4" s="6" t="s">
        <v>4</v>
      </c>
      <c r="B4" s="6">
        <f>COUNTIF('Manual Tests'!$H$4:$H$37,A4)</f>
        <v>0</v>
      </c>
      <c r="C4" s="6"/>
      <c r="D4" s="6" t="s">
        <v>231</v>
      </c>
      <c r="E4" s="6">
        <f>SUM(B4:B7)</f>
        <v>34</v>
      </c>
    </row>
    <row r="5" spans="1:5">
      <c r="A5" s="6" t="s">
        <v>6</v>
      </c>
      <c r="B5" s="6">
        <f>COUNTIF('Manual Tests'!$H$4:$H$37,A5)</f>
        <v>0</v>
      </c>
      <c r="C5" s="6"/>
      <c r="D5" s="6" t="s">
        <v>232</v>
      </c>
      <c r="E5" s="6" t="str">
        <f>IF(AND(B5=0,B6=0,B7=0,B4=34),"YES","NO")</f>
        <v>NO</v>
      </c>
    </row>
    <row r="6" spans="1:5">
      <c r="A6" s="6" t="s">
        <v>7</v>
      </c>
      <c r="B6" s="6">
        <f>COUNTIF('Manual Tests'!$H$4:$H$37,A6)</f>
        <v>0</v>
      </c>
      <c r="C6" s="6"/>
      <c r="D6" s="6" t="s">
        <v>233</v>
      </c>
      <c r="E6" s="6" t="s">
        <v>234</v>
      </c>
    </row>
    <row r="7" spans="1:5">
      <c r="A7" s="6" t="s">
        <v>28</v>
      </c>
      <c r="B7" s="6">
        <f>COUNTIF('Manual Tests'!$H$4:$H$37,A7)</f>
        <v>34</v>
      </c>
      <c r="C7" s="6"/>
      <c r="D7" s="6"/>
      <c r="E7" s="6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2"/>
  <sheetViews>
    <sheetView showGridLines="0" workbookViewId="0">
      <selection sqref="A1:F1"/>
    </sheetView>
  </sheetViews>
  <sheetFormatPr defaultRowHeight="14.25"/>
  <cols>
    <col min="1" max="2" width="24.625" customWidth="1"/>
    <col min="3" max="6" width="20.625" customWidth="1"/>
  </cols>
  <sheetData>
    <row r="1" spans="1:6" ht="33.950000000000003" customHeight="1">
      <c r="A1" s="9" t="s">
        <v>211</v>
      </c>
      <c r="B1" s="9"/>
      <c r="C1" s="9"/>
      <c r="D1" s="9"/>
      <c r="E1" s="9"/>
      <c r="F1" s="9"/>
    </row>
    <row r="3" spans="1:6" ht="54" customHeight="1">
      <c r="A3" s="7" t="s">
        <v>212</v>
      </c>
      <c r="B3" s="10" t="s">
        <v>213</v>
      </c>
      <c r="C3" s="10"/>
      <c r="D3" s="10"/>
      <c r="E3" s="10"/>
      <c r="F3" s="10"/>
    </row>
    <row r="4" spans="1:6" ht="54" customHeight="1">
      <c r="A4" s="7" t="s">
        <v>214</v>
      </c>
      <c r="B4" s="10" t="s">
        <v>5</v>
      </c>
      <c r="C4" s="10"/>
      <c r="D4" s="10"/>
      <c r="E4" s="10"/>
      <c r="F4" s="10"/>
    </row>
    <row r="5" spans="1:6" ht="54" customHeight="1">
      <c r="A5" s="7" t="s">
        <v>215</v>
      </c>
      <c r="B5" s="10" t="s">
        <v>216</v>
      </c>
      <c r="C5" s="10"/>
      <c r="D5" s="10"/>
      <c r="E5" s="10"/>
      <c r="F5" s="10"/>
    </row>
    <row r="6" spans="1:6" ht="54" customHeight="1">
      <c r="A6" s="7" t="s">
        <v>217</v>
      </c>
      <c r="B6" s="10" t="s">
        <v>218</v>
      </c>
      <c r="C6" s="10"/>
      <c r="D6" s="10"/>
      <c r="E6" s="10"/>
      <c r="F6" s="10"/>
    </row>
    <row r="7" spans="1:6" ht="54" customHeight="1">
      <c r="A7" s="7" t="s">
        <v>219</v>
      </c>
      <c r="B7" s="10" t="s">
        <v>220</v>
      </c>
      <c r="C7" s="10"/>
      <c r="D7" s="10"/>
      <c r="E7" s="10"/>
      <c r="F7" s="10"/>
    </row>
    <row r="8" spans="1:6" ht="54" customHeight="1">
      <c r="A8" s="7" t="s">
        <v>221</v>
      </c>
      <c r="B8" s="10" t="s">
        <v>222</v>
      </c>
      <c r="C8" s="10"/>
      <c r="D8" s="10"/>
      <c r="E8" s="10"/>
      <c r="F8" s="10"/>
    </row>
    <row r="9" spans="1:6" ht="54" customHeight="1">
      <c r="A9" s="7" t="s">
        <v>223</v>
      </c>
      <c r="B9" s="10" t="s">
        <v>224</v>
      </c>
      <c r="C9" s="10"/>
      <c r="D9" s="10"/>
      <c r="E9" s="10"/>
      <c r="F9" s="10"/>
    </row>
    <row r="10" spans="1:6" ht="54" customHeight="1">
      <c r="A10" s="7" t="s">
        <v>225</v>
      </c>
      <c r="B10" s="10" t="s">
        <v>226</v>
      </c>
      <c r="C10" s="10"/>
      <c r="D10" s="10"/>
      <c r="E10" s="10"/>
      <c r="F10" s="10"/>
    </row>
    <row r="11" spans="1:6" ht="54" customHeight="1">
      <c r="A11" s="7" t="s">
        <v>8</v>
      </c>
      <c r="B11" s="10" t="s">
        <v>227</v>
      </c>
      <c r="C11" s="10"/>
      <c r="D11" s="10"/>
      <c r="E11" s="10"/>
      <c r="F11" s="10"/>
    </row>
    <row r="12" spans="1:6" ht="54" customHeight="1">
      <c r="A12" s="7" t="s">
        <v>228</v>
      </c>
      <c r="B12" s="10" t="s">
        <v>229</v>
      </c>
      <c r="C12" s="10"/>
      <c r="D12" s="10"/>
      <c r="E12" s="10"/>
      <c r="F12" s="10"/>
    </row>
  </sheetData>
  <mergeCells count="11">
    <mergeCell ref="A1:F1"/>
    <mergeCell ref="B3:F3"/>
    <mergeCell ref="B4:F4"/>
    <mergeCell ref="B5:F5"/>
    <mergeCell ref="B6:F6"/>
    <mergeCell ref="B12:F12"/>
    <mergeCell ref="B7:F7"/>
    <mergeCell ref="B8:F8"/>
    <mergeCell ref="B9:F9"/>
    <mergeCell ref="B10:F10"/>
    <mergeCell ref="B11:F11"/>
  </mergeCells>
  <pageMargins left="0.7" right="0.7" top="0.75" bottom="0.75" header="0.3" footer="0.3"/>
  <pageSetup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showGridLines="0" workbookViewId="0">
      <pane ySplit="3" topLeftCell="A4" activePane="bottomLeft" state="frozenSplit"/>
      <selection pane="bottomLeft" sqref="A1:K1"/>
    </sheetView>
  </sheetViews>
  <sheetFormatPr defaultRowHeight="14.25"/>
  <cols>
    <col min="1" max="1" width="10.625" customWidth="1"/>
    <col min="2" max="2" width="27.625" customWidth="1"/>
    <col min="3" max="3" width="34.625" customWidth="1"/>
    <col min="4" max="4" width="38.625" customWidth="1"/>
    <col min="5" max="5" width="42.625" customWidth="1"/>
    <col min="6" max="7" width="24.625" customWidth="1"/>
    <col min="8" max="8" width="13.625" customWidth="1"/>
    <col min="9" max="10" width="34.625" customWidth="1"/>
    <col min="11" max="11" width="14.625" customWidth="1"/>
  </cols>
  <sheetData>
    <row r="1" spans="1:11" ht="27.95" customHeight="1">
      <c r="A1" s="9" t="s">
        <v>11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3.950000000000003" customHeight="1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27.95" customHeight="1">
      <c r="A3" s="1" t="s">
        <v>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</v>
      </c>
      <c r="I3" s="1" t="s">
        <v>19</v>
      </c>
      <c r="J3" s="1" t="s">
        <v>20</v>
      </c>
      <c r="K3" s="1" t="s">
        <v>2</v>
      </c>
    </row>
    <row r="4" spans="1:11" ht="72" customHeight="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/>
      <c r="J4" s="2"/>
      <c r="K4" s="4"/>
    </row>
    <row r="5" spans="1:11" ht="72" customHeight="1">
      <c r="A5" s="2" t="s">
        <v>29</v>
      </c>
      <c r="B5" s="2" t="s">
        <v>22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28</v>
      </c>
      <c r="I5" s="2"/>
      <c r="J5" s="2"/>
      <c r="K5" s="4"/>
    </row>
    <row r="6" spans="1:11" ht="72" customHeight="1">
      <c r="A6" s="2" t="s">
        <v>35</v>
      </c>
      <c r="B6" s="2" t="s">
        <v>22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28</v>
      </c>
      <c r="I6" s="2"/>
      <c r="J6" s="2"/>
      <c r="K6" s="4"/>
    </row>
    <row r="7" spans="1:11" ht="72" customHeight="1">
      <c r="A7" s="2" t="s">
        <v>41</v>
      </c>
      <c r="B7" s="2" t="s">
        <v>22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28</v>
      </c>
      <c r="I7" s="2"/>
      <c r="J7" s="2"/>
      <c r="K7" s="4"/>
    </row>
    <row r="8" spans="1:11" ht="72" customHeight="1">
      <c r="A8" s="2" t="s">
        <v>47</v>
      </c>
      <c r="B8" s="2" t="s">
        <v>22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28</v>
      </c>
      <c r="I8" s="2"/>
      <c r="J8" s="2"/>
      <c r="K8" s="4"/>
    </row>
    <row r="9" spans="1:11" ht="72" customHeight="1">
      <c r="A9" s="2" t="s">
        <v>53</v>
      </c>
      <c r="B9" s="2" t="s">
        <v>22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40</v>
      </c>
      <c r="H9" s="2" t="s">
        <v>28</v>
      </c>
      <c r="I9" s="2"/>
      <c r="J9" s="2"/>
      <c r="K9" s="4"/>
    </row>
    <row r="10" spans="1:11" ht="72" customHeight="1">
      <c r="A10" s="2" t="s">
        <v>58</v>
      </c>
      <c r="B10" s="2" t="s">
        <v>22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40</v>
      </c>
      <c r="H10" s="2" t="s">
        <v>28</v>
      </c>
      <c r="I10" s="2"/>
      <c r="J10" s="2"/>
      <c r="K10" s="4"/>
    </row>
    <row r="11" spans="1:11" ht="72" customHeight="1">
      <c r="A11" s="2" t="s">
        <v>63</v>
      </c>
      <c r="B11" s="2" t="s">
        <v>22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  <c r="H11" s="2" t="s">
        <v>28</v>
      </c>
      <c r="I11" s="2"/>
      <c r="J11" s="2"/>
      <c r="K11" s="4"/>
    </row>
    <row r="12" spans="1:11" ht="72" customHeight="1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40</v>
      </c>
      <c r="H12" s="2" t="s">
        <v>28</v>
      </c>
      <c r="I12" s="2"/>
      <c r="J12" s="2"/>
      <c r="K12" s="4"/>
    </row>
    <row r="13" spans="1:11" ht="72" customHeight="1">
      <c r="A13" s="2" t="s">
        <v>75</v>
      </c>
      <c r="B13" s="2" t="s">
        <v>70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40</v>
      </c>
      <c r="H13" s="2" t="s">
        <v>28</v>
      </c>
      <c r="I13" s="2"/>
      <c r="J13" s="2"/>
      <c r="K13" s="4"/>
    </row>
    <row r="14" spans="1:11" ht="72" customHeight="1">
      <c r="A14" s="2" t="s">
        <v>80</v>
      </c>
      <c r="B14" s="2" t="s">
        <v>70</v>
      </c>
      <c r="C14" s="2" t="s">
        <v>81</v>
      </c>
      <c r="D14" s="2" t="s">
        <v>82</v>
      </c>
      <c r="E14" s="2" t="s">
        <v>83</v>
      </c>
      <c r="F14" s="2" t="s">
        <v>84</v>
      </c>
      <c r="G14" s="2" t="s">
        <v>40</v>
      </c>
      <c r="H14" s="2" t="s">
        <v>28</v>
      </c>
      <c r="I14" s="2"/>
      <c r="J14" s="2"/>
      <c r="K14" s="4"/>
    </row>
    <row r="15" spans="1:11" ht="72" customHeight="1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90</v>
      </c>
      <c r="G15" s="2" t="s">
        <v>40</v>
      </c>
      <c r="H15" s="2" t="s">
        <v>28</v>
      </c>
      <c r="I15" s="2"/>
      <c r="J15" s="2"/>
      <c r="K15" s="4"/>
    </row>
    <row r="16" spans="1:11" ht="72" customHeight="1">
      <c r="A16" s="2" t="s">
        <v>91</v>
      </c>
      <c r="B16" s="2" t="s">
        <v>86</v>
      </c>
      <c r="C16" s="2" t="s">
        <v>92</v>
      </c>
      <c r="D16" s="2" t="s">
        <v>93</v>
      </c>
      <c r="E16" s="2" t="s">
        <v>94</v>
      </c>
      <c r="F16" s="2" t="s">
        <v>95</v>
      </c>
      <c r="G16" s="2" t="s">
        <v>40</v>
      </c>
      <c r="H16" s="2" t="s">
        <v>28</v>
      </c>
      <c r="I16" s="2"/>
      <c r="J16" s="2"/>
      <c r="K16" s="4"/>
    </row>
    <row r="17" spans="1:11" ht="72" customHeight="1">
      <c r="A17" s="2" t="s">
        <v>96</v>
      </c>
      <c r="B17" s="2" t="s">
        <v>86</v>
      </c>
      <c r="C17" s="2" t="s">
        <v>97</v>
      </c>
      <c r="D17" s="2" t="s">
        <v>98</v>
      </c>
      <c r="E17" s="2" t="s">
        <v>99</v>
      </c>
      <c r="F17" s="2" t="s">
        <v>100</v>
      </c>
      <c r="G17" s="2" t="s">
        <v>40</v>
      </c>
      <c r="H17" s="2" t="s">
        <v>28</v>
      </c>
      <c r="I17" s="2"/>
      <c r="J17" s="2"/>
      <c r="K17" s="4"/>
    </row>
    <row r="18" spans="1:11" ht="72" customHeight="1">
      <c r="A18" s="2" t="s">
        <v>101</v>
      </c>
      <c r="B18" s="2" t="s">
        <v>86</v>
      </c>
      <c r="C18" s="2" t="s">
        <v>102</v>
      </c>
      <c r="D18" s="2" t="s">
        <v>103</v>
      </c>
      <c r="E18" s="2" t="s">
        <v>104</v>
      </c>
      <c r="F18" s="2" t="s">
        <v>105</v>
      </c>
      <c r="G18" s="2" t="s">
        <v>40</v>
      </c>
      <c r="H18" s="2" t="s">
        <v>28</v>
      </c>
      <c r="I18" s="2"/>
      <c r="J18" s="2"/>
      <c r="K18" s="4"/>
    </row>
    <row r="19" spans="1:11" ht="72" customHeight="1">
      <c r="A19" s="2" t="s">
        <v>106</v>
      </c>
      <c r="B19" s="2" t="s">
        <v>107</v>
      </c>
      <c r="C19" s="2" t="s">
        <v>108</v>
      </c>
      <c r="D19" s="2" t="s">
        <v>109</v>
      </c>
      <c r="E19" s="2" t="s">
        <v>110</v>
      </c>
      <c r="F19" s="2" t="s">
        <v>111</v>
      </c>
      <c r="G19" s="2" t="s">
        <v>40</v>
      </c>
      <c r="H19" s="2" t="s">
        <v>28</v>
      </c>
      <c r="I19" s="2"/>
      <c r="J19" s="2"/>
      <c r="K19" s="4"/>
    </row>
    <row r="20" spans="1:11" ht="72" customHeight="1">
      <c r="A20" s="2" t="s">
        <v>112</v>
      </c>
      <c r="B20" s="2" t="s">
        <v>107</v>
      </c>
      <c r="C20" s="2" t="s">
        <v>113</v>
      </c>
      <c r="D20" s="2" t="s">
        <v>114</v>
      </c>
      <c r="E20" s="2" t="s">
        <v>115</v>
      </c>
      <c r="F20" s="2" t="s">
        <v>116</v>
      </c>
      <c r="G20" s="2" t="s">
        <v>40</v>
      </c>
      <c r="H20" s="2" t="s">
        <v>28</v>
      </c>
      <c r="I20" s="2"/>
      <c r="J20" s="2"/>
      <c r="K20" s="4"/>
    </row>
    <row r="21" spans="1:11" ht="72" customHeight="1">
      <c r="A21" s="2" t="s">
        <v>117</v>
      </c>
      <c r="B21" s="2" t="s">
        <v>107</v>
      </c>
      <c r="C21" s="2" t="s">
        <v>118</v>
      </c>
      <c r="D21" s="2" t="s">
        <v>119</v>
      </c>
      <c r="E21" s="2" t="s">
        <v>120</v>
      </c>
      <c r="F21" s="2" t="s">
        <v>121</v>
      </c>
      <c r="G21" s="2" t="s">
        <v>40</v>
      </c>
      <c r="H21" s="2" t="s">
        <v>28</v>
      </c>
      <c r="I21" s="2"/>
      <c r="J21" s="2"/>
      <c r="K21" s="4"/>
    </row>
    <row r="22" spans="1:11" ht="72" customHeight="1">
      <c r="A22" s="2" t="s">
        <v>122</v>
      </c>
      <c r="B22" s="2" t="s">
        <v>107</v>
      </c>
      <c r="C22" s="2" t="s">
        <v>123</v>
      </c>
      <c r="D22" s="2" t="s">
        <v>124</v>
      </c>
      <c r="E22" s="2" t="s">
        <v>125</v>
      </c>
      <c r="F22" s="2" t="s">
        <v>126</v>
      </c>
      <c r="G22" s="2" t="s">
        <v>127</v>
      </c>
      <c r="H22" s="2" t="s">
        <v>28</v>
      </c>
      <c r="I22" s="2"/>
      <c r="J22" s="2"/>
      <c r="K22" s="4"/>
    </row>
    <row r="23" spans="1:11" ht="72" customHeight="1">
      <c r="A23" s="2" t="s">
        <v>128</v>
      </c>
      <c r="B23" s="2" t="s">
        <v>129</v>
      </c>
      <c r="C23" s="2" t="s">
        <v>130</v>
      </c>
      <c r="D23" s="2" t="s">
        <v>131</v>
      </c>
      <c r="E23" s="2" t="s">
        <v>132</v>
      </c>
      <c r="F23" s="2" t="s">
        <v>133</v>
      </c>
      <c r="G23" s="2" t="s">
        <v>134</v>
      </c>
      <c r="H23" s="2" t="s">
        <v>28</v>
      </c>
      <c r="I23" s="2"/>
      <c r="J23" s="2"/>
      <c r="K23" s="4"/>
    </row>
    <row r="24" spans="1:11" ht="72" customHeight="1">
      <c r="A24" s="2" t="s">
        <v>135</v>
      </c>
      <c r="B24" s="2" t="s">
        <v>129</v>
      </c>
      <c r="C24" s="2" t="s">
        <v>136</v>
      </c>
      <c r="D24" s="2" t="s">
        <v>137</v>
      </c>
      <c r="E24" s="2" t="s">
        <v>138</v>
      </c>
      <c r="F24" s="2" t="s">
        <v>139</v>
      </c>
      <c r="G24" s="2" t="s">
        <v>140</v>
      </c>
      <c r="H24" s="2" t="s">
        <v>28</v>
      </c>
      <c r="I24" s="2"/>
      <c r="J24" s="2"/>
      <c r="K24" s="4"/>
    </row>
    <row r="25" spans="1:11" ht="72" customHeight="1">
      <c r="A25" s="2" t="s">
        <v>141</v>
      </c>
      <c r="B25" s="2" t="s">
        <v>129</v>
      </c>
      <c r="C25" s="2" t="s">
        <v>142</v>
      </c>
      <c r="D25" s="2" t="s">
        <v>137</v>
      </c>
      <c r="E25" s="2" t="s">
        <v>143</v>
      </c>
      <c r="F25" s="2" t="s">
        <v>144</v>
      </c>
      <c r="G25" s="2" t="s">
        <v>145</v>
      </c>
      <c r="H25" s="2" t="s">
        <v>28</v>
      </c>
      <c r="I25" s="2"/>
      <c r="J25" s="2"/>
      <c r="K25" s="4"/>
    </row>
    <row r="26" spans="1:11" ht="72" customHeight="1">
      <c r="A26" s="2" t="s">
        <v>146</v>
      </c>
      <c r="B26" s="2" t="s">
        <v>129</v>
      </c>
      <c r="C26" s="2" t="s">
        <v>147</v>
      </c>
      <c r="D26" s="2" t="s">
        <v>148</v>
      </c>
      <c r="E26" s="2" t="s">
        <v>149</v>
      </c>
      <c r="F26" s="2" t="s">
        <v>150</v>
      </c>
      <c r="G26" s="2" t="s">
        <v>140</v>
      </c>
      <c r="H26" s="2" t="s">
        <v>28</v>
      </c>
      <c r="I26" s="2"/>
      <c r="J26" s="2"/>
      <c r="K26" s="4"/>
    </row>
    <row r="27" spans="1:11" ht="72" customHeight="1">
      <c r="A27" s="2" t="s">
        <v>151</v>
      </c>
      <c r="B27" s="2" t="s">
        <v>129</v>
      </c>
      <c r="C27" s="2" t="s">
        <v>152</v>
      </c>
      <c r="D27" s="2" t="s">
        <v>137</v>
      </c>
      <c r="E27" s="2" t="s">
        <v>153</v>
      </c>
      <c r="F27" s="2" t="s">
        <v>154</v>
      </c>
      <c r="G27" s="2" t="s">
        <v>134</v>
      </c>
      <c r="H27" s="2" t="s">
        <v>28</v>
      </c>
      <c r="I27" s="2"/>
      <c r="J27" s="2"/>
      <c r="K27" s="4"/>
    </row>
    <row r="28" spans="1:11" ht="72" customHeight="1">
      <c r="A28" s="2" t="s">
        <v>155</v>
      </c>
      <c r="B28" s="2" t="s">
        <v>129</v>
      </c>
      <c r="C28" s="2" t="s">
        <v>156</v>
      </c>
      <c r="D28" s="2" t="s">
        <v>157</v>
      </c>
      <c r="E28" s="2" t="s">
        <v>158</v>
      </c>
      <c r="F28" s="2" t="s">
        <v>159</v>
      </c>
      <c r="G28" s="2" t="s">
        <v>134</v>
      </c>
      <c r="H28" s="2" t="s">
        <v>28</v>
      </c>
      <c r="I28" s="2"/>
      <c r="J28" s="2"/>
      <c r="K28" s="4"/>
    </row>
    <row r="29" spans="1:11" ht="72" customHeight="1">
      <c r="A29" s="2" t="s">
        <v>160</v>
      </c>
      <c r="B29" s="2" t="s">
        <v>129</v>
      </c>
      <c r="C29" s="2" t="s">
        <v>161</v>
      </c>
      <c r="D29" s="2" t="s">
        <v>162</v>
      </c>
      <c r="E29" s="2" t="s">
        <v>163</v>
      </c>
      <c r="F29" s="2" t="s">
        <v>164</v>
      </c>
      <c r="G29" s="2" t="s">
        <v>145</v>
      </c>
      <c r="H29" s="2" t="s">
        <v>28</v>
      </c>
      <c r="I29" s="2"/>
      <c r="J29" s="2"/>
      <c r="K29" s="4"/>
    </row>
    <row r="30" spans="1:11" ht="72" customHeight="1">
      <c r="A30" s="2" t="s">
        <v>165</v>
      </c>
      <c r="B30" s="2" t="s">
        <v>166</v>
      </c>
      <c r="C30" s="2" t="s">
        <v>167</v>
      </c>
      <c r="D30" s="2" t="s">
        <v>168</v>
      </c>
      <c r="E30" s="2" t="s">
        <v>169</v>
      </c>
      <c r="F30" s="2" t="s">
        <v>170</v>
      </c>
      <c r="G30" s="2" t="s">
        <v>171</v>
      </c>
      <c r="H30" s="2" t="s">
        <v>28</v>
      </c>
      <c r="I30" s="2"/>
      <c r="J30" s="2"/>
      <c r="K30" s="4"/>
    </row>
    <row r="31" spans="1:11" ht="72" customHeight="1">
      <c r="A31" s="2" t="s">
        <v>172</v>
      </c>
      <c r="B31" s="2" t="s">
        <v>166</v>
      </c>
      <c r="C31" s="2" t="s">
        <v>173</v>
      </c>
      <c r="D31" s="2" t="s">
        <v>174</v>
      </c>
      <c r="E31" s="2" t="s">
        <v>175</v>
      </c>
      <c r="F31" s="2" t="s">
        <v>176</v>
      </c>
      <c r="G31" s="2" t="s">
        <v>40</v>
      </c>
      <c r="H31" s="2" t="s">
        <v>28</v>
      </c>
      <c r="I31" s="2"/>
      <c r="J31" s="2"/>
      <c r="K31" s="4"/>
    </row>
    <row r="32" spans="1:11" ht="72" customHeight="1">
      <c r="A32" s="2" t="s">
        <v>177</v>
      </c>
      <c r="B32" s="2" t="s">
        <v>166</v>
      </c>
      <c r="C32" s="2" t="s">
        <v>178</v>
      </c>
      <c r="D32" s="2" t="s">
        <v>179</v>
      </c>
      <c r="E32" s="2" t="s">
        <v>180</v>
      </c>
      <c r="F32" s="2" t="s">
        <v>181</v>
      </c>
      <c r="G32" s="2" t="s">
        <v>182</v>
      </c>
      <c r="H32" s="2" t="s">
        <v>28</v>
      </c>
      <c r="I32" s="2"/>
      <c r="J32" s="2"/>
      <c r="K32" s="4"/>
    </row>
    <row r="33" spans="1:11" ht="72" customHeight="1">
      <c r="A33" s="2" t="s">
        <v>183</v>
      </c>
      <c r="B33" s="2" t="s">
        <v>184</v>
      </c>
      <c r="C33" s="2" t="s">
        <v>185</v>
      </c>
      <c r="D33" s="2" t="s">
        <v>186</v>
      </c>
      <c r="E33" s="2" t="s">
        <v>187</v>
      </c>
      <c r="F33" s="2" t="s">
        <v>188</v>
      </c>
      <c r="G33" s="2" t="s">
        <v>40</v>
      </c>
      <c r="H33" s="2" t="s">
        <v>28</v>
      </c>
      <c r="I33" s="2"/>
      <c r="J33" s="2"/>
      <c r="K33" s="4"/>
    </row>
    <row r="34" spans="1:11" ht="72" customHeight="1">
      <c r="A34" s="2" t="s">
        <v>189</v>
      </c>
      <c r="B34" s="2" t="s">
        <v>184</v>
      </c>
      <c r="C34" s="2" t="s">
        <v>185</v>
      </c>
      <c r="D34" s="2" t="s">
        <v>190</v>
      </c>
      <c r="E34" s="2" t="s">
        <v>191</v>
      </c>
      <c r="F34" s="2" t="s">
        <v>192</v>
      </c>
      <c r="G34" s="2" t="s">
        <v>40</v>
      </c>
      <c r="H34" s="2" t="s">
        <v>28</v>
      </c>
      <c r="I34" s="2"/>
      <c r="J34" s="2"/>
      <c r="K34" s="4"/>
    </row>
    <row r="35" spans="1:11" ht="72" customHeight="1">
      <c r="A35" s="2" t="s">
        <v>193</v>
      </c>
      <c r="B35" s="2" t="s">
        <v>184</v>
      </c>
      <c r="C35" s="2" t="s">
        <v>194</v>
      </c>
      <c r="D35" s="2" t="s">
        <v>195</v>
      </c>
      <c r="E35" s="2" t="s">
        <v>196</v>
      </c>
      <c r="F35" s="2" t="s">
        <v>197</v>
      </c>
      <c r="G35" s="2" t="s">
        <v>198</v>
      </c>
      <c r="H35" s="2" t="s">
        <v>28</v>
      </c>
      <c r="I35" s="2"/>
      <c r="J35" s="2"/>
      <c r="K35" s="4"/>
    </row>
    <row r="36" spans="1:11" ht="72" customHeight="1">
      <c r="A36" s="2" t="s">
        <v>199</v>
      </c>
      <c r="B36" s="2" t="s">
        <v>184</v>
      </c>
      <c r="C36" s="2" t="s">
        <v>200</v>
      </c>
      <c r="D36" s="2" t="s">
        <v>201</v>
      </c>
      <c r="E36" s="2" t="s">
        <v>202</v>
      </c>
      <c r="F36" s="2" t="s">
        <v>203</v>
      </c>
      <c r="G36" s="2" t="s">
        <v>204</v>
      </c>
      <c r="H36" s="2" t="s">
        <v>28</v>
      </c>
      <c r="I36" s="2"/>
      <c r="J36" s="2"/>
      <c r="K36" s="4"/>
    </row>
    <row r="37" spans="1:11" ht="72" customHeight="1">
      <c r="A37" s="3" t="s">
        <v>205</v>
      </c>
      <c r="B37" s="3" t="s">
        <v>184</v>
      </c>
      <c r="C37" s="3" t="s">
        <v>206</v>
      </c>
      <c r="D37" s="3" t="s">
        <v>207</v>
      </c>
      <c r="E37" s="3" t="s">
        <v>208</v>
      </c>
      <c r="F37" s="3" t="s">
        <v>209</v>
      </c>
      <c r="G37" s="3" t="s">
        <v>210</v>
      </c>
      <c r="H37" s="3" t="s">
        <v>28</v>
      </c>
      <c r="I37" s="3"/>
      <c r="J37" s="3"/>
      <c r="K37" s="5"/>
    </row>
    <row r="38" spans="1:11" ht="51.95" customHeight="1"/>
    <row r="39" spans="1:11" ht="51.95" customHeight="1"/>
    <row r="40" spans="1:11" ht="51.95" customHeight="1"/>
    <row r="41" spans="1:11" ht="51.95" customHeight="1"/>
    <row r="42" spans="1:11" ht="51.95" customHeight="1"/>
    <row r="43" spans="1:11" ht="51.95" customHeight="1"/>
    <row r="44" spans="1:11" ht="51.95" customHeight="1"/>
    <row r="45" spans="1:11" ht="51.95" customHeight="1"/>
    <row r="46" spans="1:11" ht="51.95" customHeight="1"/>
    <row r="47" spans="1:11" ht="51.95" customHeight="1"/>
    <row r="48" spans="1:11" ht="51.95" customHeight="1"/>
    <row r="49" ht="51.95" customHeight="1"/>
    <row r="50" ht="51.95" customHeight="1"/>
    <row r="51" ht="51.95" customHeight="1"/>
    <row r="52" ht="51.95" customHeight="1"/>
    <row r="53" ht="51.95" customHeight="1"/>
    <row r="54" ht="51.95" customHeight="1"/>
    <row r="55" ht="51.95" customHeight="1"/>
    <row r="56" ht="51.95" customHeight="1"/>
    <row r="57" ht="51.95" customHeight="1"/>
    <row r="58" ht="51.95" customHeight="1"/>
    <row r="59" ht="51.95" customHeight="1"/>
    <row r="60" ht="51.95" customHeight="1"/>
    <row r="61" ht="51.95" customHeight="1"/>
    <row r="62" ht="177" customHeight="1"/>
    <row r="63" ht="51.95" customHeight="1"/>
    <row r="64" ht="51.95" customHeight="1"/>
    <row r="65" ht="51.95" customHeight="1"/>
    <row r="66" ht="51.95" customHeight="1"/>
    <row r="67" ht="51.95" customHeight="1"/>
    <row r="68" ht="51.95" customHeight="1"/>
    <row r="69" ht="51.95" customHeight="1"/>
    <row r="70" ht="51.95" customHeight="1"/>
    <row r="71" ht="51.95" customHeight="1"/>
    <row r="72" ht="51.95" customHeight="1"/>
    <row r="73" ht="51.95" customHeight="1"/>
    <row r="74" ht="51.95" customHeight="1"/>
    <row r="75" ht="51.95" customHeight="1"/>
    <row r="76" ht="51.95" customHeight="1"/>
    <row r="77" ht="51.95" customHeight="1"/>
    <row r="78" ht="51.95" customHeight="1"/>
    <row r="79" ht="51.95" customHeight="1"/>
    <row r="80" ht="51.95" customHeight="1"/>
    <row r="81" ht="51.95" customHeight="1"/>
    <row r="82" ht="51.95" customHeight="1"/>
    <row r="83" ht="51.95" customHeight="1"/>
    <row r="84" ht="51.95" customHeight="1"/>
    <row r="85" ht="51.95" customHeight="1"/>
    <row r="86" ht="51.95" customHeight="1"/>
    <row r="87" ht="51.95" customHeight="1"/>
    <row r="88" ht="51.95" customHeight="1"/>
    <row r="89" ht="51.95" customHeight="1"/>
    <row r="90" ht="51.95" customHeight="1"/>
    <row r="91" ht="51.95" customHeight="1"/>
  </sheetData>
  <autoFilter ref="A3:K37" xr:uid="{00000000-0001-0000-0000-000000000000}"/>
  <mergeCells count="2">
    <mergeCell ref="A1:K1"/>
    <mergeCell ref="A2:K2"/>
  </mergeCells>
  <dataValidations count="1">
    <dataValidation type="list" allowBlank="1" showInputMessage="1" showErrorMessage="1" sqref="H4:H37" xr:uid="{DDE96805-8910-46CF-9670-B18D99B56BD0}">
      <formula1>"Not Run,Passed,Failed,Blocked"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</vt:lpstr>
      <vt:lpstr>Start Here</vt:lpstr>
      <vt:lpstr>Manual Tests</vt:lpstr>
      <vt:lpstr>'Start Here'!Print_Area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Parker Zheng</cp:lastModifiedBy>
  <cp:lastPrinted>2026-08-12T20:32:10Z</cp:lastPrinted>
  <dcterms:modified xsi:type="dcterms:W3CDTF">2026-08-12T20:32:10Z</dcterms:modified>
</cp:coreProperties>
</file>